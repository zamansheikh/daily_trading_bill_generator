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ily Trading Corporation\Pran &amp; RFL\daily memo\Memo 2026\"/>
    </mc:Choice>
  </mc:AlternateContent>
  <xr:revisionPtr revIDLastSave="0" documentId="13_ncr:1_{2D40D305-4CAA-4FBC-A792-1C7259D9D112}" xr6:coauthVersionLast="47" xr6:coauthVersionMax="47" xr10:uidLastSave="{00000000-0000-0000-0000-000000000000}"/>
  <bookViews>
    <workbookView xWindow="-120" yWindow="-120" windowWidth="29040" windowHeight="15720" xr2:uid="{E955E4BD-7289-462A-BC65-09E580249187}"/>
  </bookViews>
  <sheets>
    <sheet name="Sheet1" sheetId="1" r:id="rId1"/>
  </sheets>
  <definedNames>
    <definedName name="_xlnm._FilterDatabase" localSheetId="0" hidden="1">Sheet1!$A$8:$H$8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P47" i="1"/>
  <c r="H18" i="1"/>
  <c r="P36" i="1"/>
  <c r="H31" i="1"/>
  <c r="H22" i="1"/>
  <c r="P17" i="1"/>
  <c r="P18" i="1"/>
  <c r="P43" i="1"/>
  <c r="P24" i="1"/>
  <c r="H21" i="1"/>
  <c r="H14" i="1" l="1"/>
  <c r="H11" i="1"/>
  <c r="H42" i="1"/>
  <c r="H43" i="1"/>
  <c r="H35" i="1"/>
  <c r="P20" i="1"/>
  <c r="P19" i="1"/>
  <c r="P16" i="1"/>
  <c r="P31" i="1"/>
  <c r="P30" i="1"/>
  <c r="P29" i="1"/>
  <c r="P28" i="1"/>
  <c r="P27" i="1"/>
  <c r="P26" i="1"/>
  <c r="P23" i="1"/>
  <c r="P22" i="1"/>
  <c r="P21" i="1"/>
  <c r="H39" i="1"/>
  <c r="H25" i="1"/>
  <c r="P10" i="1"/>
  <c r="P11" i="1"/>
  <c r="P12" i="1"/>
  <c r="P13" i="1"/>
  <c r="P14" i="1"/>
  <c r="P15" i="1"/>
  <c r="P32" i="1"/>
  <c r="P33" i="1"/>
  <c r="P34" i="1"/>
  <c r="P35" i="1"/>
  <c r="P37" i="1"/>
  <c r="P38" i="1"/>
  <c r="P39" i="1"/>
  <c r="P40" i="1"/>
  <c r="P41" i="1"/>
  <c r="P42" i="1"/>
  <c r="P44" i="1"/>
  <c r="P45" i="1"/>
  <c r="P46" i="1"/>
  <c r="P25" i="1"/>
  <c r="H12" i="1" l="1"/>
  <c r="H13" i="1"/>
  <c r="H17" i="1"/>
  <c r="H19" i="1"/>
  <c r="H20" i="1"/>
  <c r="H23" i="1"/>
  <c r="H24" i="1"/>
  <c r="H26" i="1"/>
  <c r="H27" i="1"/>
  <c r="H28" i="1"/>
  <c r="H29" i="1"/>
  <c r="H30" i="1"/>
  <c r="H32" i="1"/>
  <c r="H33" i="1"/>
  <c r="H34" i="1"/>
  <c r="H36" i="1"/>
  <c r="H37" i="1"/>
  <c r="H38" i="1"/>
  <c r="H40" i="1"/>
  <c r="H41" i="1"/>
  <c r="H44" i="1"/>
  <c r="P9" i="1" l="1"/>
  <c r="H46" i="1" l="1"/>
  <c r="H45" i="1"/>
  <c r="H10" i="1"/>
  <c r="H16" i="1"/>
  <c r="H9" i="1" l="1"/>
  <c r="H47" i="1"/>
  <c r="P48" i="1" l="1"/>
</calcChain>
</file>

<file path=xl/sharedStrings.xml><?xml version="1.0" encoding="utf-8"?>
<sst xmlns="http://schemas.openxmlformats.org/spreadsheetml/2006/main" count="261" uniqueCount="146">
  <si>
    <t>Sl.</t>
  </si>
  <si>
    <t>Product Code</t>
  </si>
  <si>
    <t>Product Name</t>
  </si>
  <si>
    <t>Size</t>
  </si>
  <si>
    <t>Qty</t>
  </si>
  <si>
    <t>Unit price</t>
  </si>
  <si>
    <t>Amount Tk.</t>
  </si>
  <si>
    <t>Almond</t>
  </si>
  <si>
    <t>কাঠবাদাম</t>
  </si>
  <si>
    <t>100gm</t>
  </si>
  <si>
    <t xml:space="preserve">Peanut Fried </t>
  </si>
  <si>
    <t>চিনাবাদাম ভাজা</t>
  </si>
  <si>
    <t>50gm</t>
  </si>
  <si>
    <t>Pistachio</t>
  </si>
  <si>
    <t>পেস্তা বাদাম</t>
  </si>
  <si>
    <t>Alubokhara</t>
  </si>
  <si>
    <t>আলুবোখারা</t>
  </si>
  <si>
    <t>25gm</t>
  </si>
  <si>
    <t>Poppy seed</t>
  </si>
  <si>
    <t>পোস্তদানা</t>
  </si>
  <si>
    <t>Araroot</t>
  </si>
  <si>
    <t>এ্যারারুট</t>
  </si>
  <si>
    <t>200gm</t>
  </si>
  <si>
    <t>Sagudana</t>
  </si>
  <si>
    <t>সাগুদানা</t>
  </si>
  <si>
    <t>Caraway Seeds</t>
  </si>
  <si>
    <t>শাহী জিরা</t>
  </si>
  <si>
    <t>Edible soda</t>
  </si>
  <si>
    <t>খাবার সোডা</t>
  </si>
  <si>
    <t>Suger Candy</t>
  </si>
  <si>
    <t>তালমিছরী</t>
  </si>
  <si>
    <t>Bit Salt</t>
  </si>
  <si>
    <t>বিট লবণ</t>
  </si>
  <si>
    <t>Tamarind</t>
  </si>
  <si>
    <t>তেঁতুল</t>
  </si>
  <si>
    <t>Tejpata</t>
  </si>
  <si>
    <t>তেজপাতা</t>
  </si>
  <si>
    <t>Black Cumin</t>
  </si>
  <si>
    <t>কালোজিরা</t>
  </si>
  <si>
    <t>Tokma</t>
  </si>
  <si>
    <t>তোকমা</t>
  </si>
  <si>
    <t>Black pepper</t>
  </si>
  <si>
    <t>কালো গোলমরিচ</t>
  </si>
  <si>
    <t>স্বাদ লবণ</t>
  </si>
  <si>
    <t>Ground Black pepper</t>
  </si>
  <si>
    <t>কালো গোলমরিচ গুড়া</t>
  </si>
  <si>
    <t>White Pepper</t>
  </si>
  <si>
    <t>সাদা গোল মরিচ</t>
  </si>
  <si>
    <t>Cardamom</t>
  </si>
  <si>
    <t>এলাচ</t>
  </si>
  <si>
    <t>Yeast Bottle</t>
  </si>
  <si>
    <t>ইস্ট</t>
  </si>
  <si>
    <t>20gm</t>
  </si>
  <si>
    <t>Chik peas flour</t>
  </si>
  <si>
    <t>বুট বেসন</t>
  </si>
  <si>
    <t>500gm</t>
  </si>
  <si>
    <t>চালের গুড়া</t>
  </si>
  <si>
    <t>1KG</t>
  </si>
  <si>
    <t>Ground Cardamom</t>
  </si>
  <si>
    <t>এলাচ গুড়া</t>
  </si>
  <si>
    <t>Chaina Grass</t>
  </si>
  <si>
    <t>চায়না গ্রাস</t>
  </si>
  <si>
    <t>5gm</t>
  </si>
  <si>
    <t>Black Cardamom</t>
  </si>
  <si>
    <t>কালো এলাচ</t>
  </si>
  <si>
    <t>Cashew Nut</t>
  </si>
  <si>
    <t>কাজুবাদাম</t>
  </si>
  <si>
    <t>Ajwain</t>
  </si>
  <si>
    <t>জইন</t>
  </si>
  <si>
    <t>Cinnamon</t>
  </si>
  <si>
    <t>দারুচিনি</t>
  </si>
  <si>
    <t>White Sesame</t>
  </si>
  <si>
    <t>সাদা তিল</t>
  </si>
  <si>
    <t>Chia Seed</t>
  </si>
  <si>
    <t>চিয়া বীজ</t>
  </si>
  <si>
    <t>Ground Cinnamon</t>
  </si>
  <si>
    <t>দারুচিনি গুড়া</t>
  </si>
  <si>
    <t>Ground White Pepper</t>
  </si>
  <si>
    <t>সাদা গোল মরিচ গুড়া</t>
  </si>
  <si>
    <t xml:space="preserve">Clove </t>
  </si>
  <si>
    <t>লবঙ্গ</t>
  </si>
  <si>
    <t>Star Masala</t>
  </si>
  <si>
    <t>স্টার মসলা</t>
  </si>
  <si>
    <t>Cumin</t>
  </si>
  <si>
    <t>জিরা</t>
  </si>
  <si>
    <t>Dried Grapes</t>
  </si>
  <si>
    <t>কিসমিস</t>
  </si>
  <si>
    <t>Dried Chilies</t>
  </si>
  <si>
    <t>শুকনা মরিচ</t>
  </si>
  <si>
    <t>Isobgul Bhushi</t>
  </si>
  <si>
    <t>ইসপগুল ভুসি</t>
  </si>
  <si>
    <t>Fennel</t>
  </si>
  <si>
    <t>মিষ্টি জিরা</t>
  </si>
  <si>
    <t>Mathi</t>
  </si>
  <si>
    <t>মেথি</t>
  </si>
  <si>
    <t>Ground Mathi</t>
  </si>
  <si>
    <t>মেথি গুড়া</t>
  </si>
  <si>
    <t>80gm</t>
  </si>
  <si>
    <t>Ground Garam mashala</t>
  </si>
  <si>
    <t>গরম মসলা গুড়া</t>
  </si>
  <si>
    <t>Coriander Whole</t>
  </si>
  <si>
    <t>আস্ত ধনিয়া</t>
  </si>
  <si>
    <t>Mace</t>
  </si>
  <si>
    <t xml:space="preserve">জৈএী </t>
  </si>
  <si>
    <t>Ground Mace</t>
  </si>
  <si>
    <t>জৈএী গুড়া</t>
  </si>
  <si>
    <t>Mixed Fruits</t>
  </si>
  <si>
    <t>মিক্সড ফ্রুট</t>
  </si>
  <si>
    <t>Red Mustard</t>
  </si>
  <si>
    <t>লাল সরিষা</t>
  </si>
  <si>
    <t>Yellow Mustard</t>
  </si>
  <si>
    <t>হলুদ সরিষা</t>
  </si>
  <si>
    <t>Nutmeg</t>
  </si>
  <si>
    <t>জায়ফল</t>
  </si>
  <si>
    <t>Ground Nutmeg</t>
  </si>
  <si>
    <t>জায়ফল গুড়া</t>
  </si>
  <si>
    <t>Panchforn</t>
  </si>
  <si>
    <t>পাঁচফোরন</t>
  </si>
  <si>
    <t>Coustomer's Signature</t>
  </si>
  <si>
    <t>Authorized Signature</t>
  </si>
  <si>
    <t>Memo No.</t>
  </si>
  <si>
    <t>Order date:</t>
  </si>
  <si>
    <t>Name/address:</t>
  </si>
  <si>
    <t>Supply Date:</t>
  </si>
  <si>
    <t>Amount in Total</t>
  </si>
  <si>
    <t>Rice Flour</t>
  </si>
  <si>
    <t>1kg</t>
  </si>
  <si>
    <t xml:space="preserve"> </t>
  </si>
  <si>
    <t xml:space="preserve">Testing Salt </t>
  </si>
  <si>
    <t>Pasta Papor</t>
  </si>
  <si>
    <t>Star Papor</t>
  </si>
  <si>
    <t>Love Papor</t>
  </si>
  <si>
    <t>Kacha Fhuchka</t>
  </si>
  <si>
    <t>Botam Papor</t>
  </si>
  <si>
    <t>Chinese Papor</t>
  </si>
  <si>
    <t>Walnut</t>
  </si>
  <si>
    <t>আখরোট</t>
  </si>
  <si>
    <t>চাইনিজ পাঁপড়</t>
  </si>
  <si>
    <t>বোতাম পাপড়</t>
  </si>
  <si>
    <t>কাঁচা ফুচকা</t>
  </si>
  <si>
    <t>লাভ পাপড়</t>
  </si>
  <si>
    <t>স্টার পাপড়</t>
  </si>
  <si>
    <t>পাস্তা পাপড়</t>
  </si>
  <si>
    <t>12/09/2026</t>
  </si>
  <si>
    <t>Daily Shopping- Joynal Market,Uttara</t>
  </si>
  <si>
    <t>PO-3800-01-26-050875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</si>
</sst>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20">
    <font>
      <sz val="11"/>
      <color theme="1"/>
      <name val="Calibri"/>
      <family val="2"/>
      <scheme val="minor"/>
    </font>
    <font>
      <b/>
      <sz val="9"/>
      <color theme="0"/>
      <name val="Kalpurush"/>
    </font>
    <font>
      <sz val="9"/>
      <color rgb="FF000000"/>
      <name val="Kalpurush"/>
    </font>
    <font>
      <b/>
      <sz val="8"/>
      <color rgb="FF000000"/>
      <name val="Kalpurush"/>
    </font>
    <font>
      <b/>
      <sz val="8"/>
      <color theme="0"/>
      <name val="Kalpurush"/>
    </font>
    <font>
      <sz val="11"/>
      <color theme="1"/>
      <name val="Kalpurush"/>
    </font>
    <font>
      <b/>
      <sz val="6"/>
      <color theme="0"/>
      <name val="Kalpurush"/>
    </font>
    <font>
      <sz val="8"/>
      <color rgb="FF000000"/>
      <name val="Kalpurush"/>
    </font>
    <font>
      <b/>
      <sz val="6.5"/>
      <color theme="0"/>
      <name val="Kalpurush"/>
    </font>
    <font>
      <b/>
      <sz val="10"/>
      <color rgb="FF000000"/>
      <name val="Kalpurush"/>
    </font>
    <font>
      <sz val="9"/>
      <color theme="1"/>
      <name val="Kalpurush"/>
    </font>
    <font>
      <sz val="7"/>
      <name val="Kalpurush"/>
    </font>
    <font>
      <sz val="7"/>
      <color rgb="FF282828"/>
      <name val="Kalpurush"/>
    </font>
    <font>
      <sz val="7"/>
      <color rgb="FF000000"/>
      <name val="Kalpurush"/>
    </font>
    <font>
      <sz val="7"/>
      <color rgb="FF0F0F0F"/>
      <name val="Kalpurush"/>
    </font>
    <font>
      <sz val="6"/>
      <name val="Kalpurush"/>
    </font>
    <font>
      <sz val="7"/>
      <color theme="1"/>
      <name val="Kalpurush"/>
    </font>
    <font>
      <sz val="6"/>
      <color theme="1"/>
      <name val="Calibri "/>
    </font>
    <font>
      <b/>
      <i/>
      <sz val="8"/>
      <color rgb="FF000000"/>
      <name val="Kalpurush"/>
    </font>
    <font>
      <sz val="6"/>
      <color theme="1"/>
      <name val="Kalpurush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231F2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rgb="FFFFFFFF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31F20"/>
      </left>
      <right/>
      <top style="thin">
        <color rgb="FF231F2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231F20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" fontId="7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top"/>
    </xf>
    <xf numFmtId="0" fontId="5" fillId="0" borderId="27" xfId="0" applyFont="1" applyBorder="1"/>
    <xf numFmtId="4" fontId="5" fillId="0" borderId="0" xfId="0" applyNumberFormat="1" applyFont="1"/>
    <xf numFmtId="4" fontId="10" fillId="0" borderId="0" xfId="0" applyNumberFormat="1" applyFont="1"/>
    <xf numFmtId="0" fontId="5" fillId="0" borderId="0" xfId="0" applyFont="1" applyAlignment="1">
      <alignment horizontal="left" vertical="top"/>
    </xf>
    <xf numFmtId="0" fontId="5" fillId="0" borderId="30" xfId="0" applyFont="1" applyBorder="1" applyAlignment="1">
      <alignment horizontal="left" vertical="top"/>
    </xf>
    <xf numFmtId="0" fontId="7" fillId="0" borderId="30" xfId="0" applyFont="1" applyBorder="1"/>
    <xf numFmtId="0" fontId="13" fillId="3" borderId="8" xfId="0" applyFont="1" applyFill="1" applyBorder="1" applyAlignment="1">
      <alignment horizontal="center" vertical="center" wrapText="1"/>
    </xf>
    <xf numFmtId="4" fontId="13" fillId="3" borderId="28" xfId="0" applyNumberFormat="1" applyFont="1" applyFill="1" applyBorder="1" applyAlignment="1">
      <alignment horizontal="center" vertical="center" wrapText="1"/>
    </xf>
    <xf numFmtId="1" fontId="14" fillId="3" borderId="11" xfId="0" applyNumberFormat="1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wrapText="1"/>
    </xf>
    <xf numFmtId="4" fontId="13" fillId="3" borderId="29" xfId="0" applyNumberFormat="1" applyFont="1" applyFill="1" applyBorder="1" applyAlignment="1">
      <alignment horizontal="center" vertical="center" wrapText="1"/>
    </xf>
    <xf numFmtId="4" fontId="13" fillId="3" borderId="9" xfId="0" applyNumberFormat="1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4" fontId="13" fillId="3" borderId="14" xfId="0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1" fontId="12" fillId="3" borderId="11" xfId="0" applyNumberFormat="1" applyFont="1" applyFill="1" applyBorder="1" applyAlignment="1">
      <alignment horizontal="center" vertical="center" shrinkToFit="1"/>
    </xf>
    <xf numFmtId="1" fontId="14" fillId="3" borderId="5" xfId="0" applyNumberFormat="1" applyFont="1" applyFill="1" applyBorder="1" applyAlignment="1">
      <alignment horizontal="center" vertical="center" shrinkToFit="1"/>
    </xf>
    <xf numFmtId="0" fontId="11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4" fontId="13" fillId="3" borderId="5" xfId="0" applyNumberFormat="1" applyFont="1" applyFill="1" applyBorder="1" applyAlignment="1">
      <alignment horizontal="center" vertical="center" wrapText="1"/>
    </xf>
    <xf numFmtId="164" fontId="11" fillId="3" borderId="32" xfId="0" applyNumberFormat="1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0" xfId="0" applyFont="1" applyBorder="1" applyAlignment="1">
      <alignment horizontal="left" vertical="top"/>
    </xf>
    <xf numFmtId="0" fontId="17" fillId="0" borderId="5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1" fontId="12" fillId="3" borderId="5" xfId="0" applyNumberFormat="1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13" fillId="3" borderId="32" xfId="0" applyFont="1" applyFill="1" applyBorder="1" applyAlignment="1">
      <alignment horizontal="center" vertical="center" wrapText="1"/>
    </xf>
    <xf numFmtId="2" fontId="16" fillId="3" borderId="5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64" fontId="11" fillId="4" borderId="32" xfId="0" applyNumberFormat="1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center" vertical="center" shrinkToFi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4" fontId="13" fillId="4" borderId="5" xfId="0" applyNumberFormat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1" fontId="14" fillId="4" borderId="11" xfId="0" applyNumberFormat="1" applyFont="1" applyFill="1" applyBorder="1" applyAlignment="1">
      <alignment horizontal="center" vertical="center" shrinkToFit="1"/>
    </xf>
    <xf numFmtId="1" fontId="12" fillId="4" borderId="11" xfId="0" applyNumberFormat="1" applyFont="1" applyFill="1" applyBorder="1" applyAlignment="1">
      <alignment horizontal="center" vertical="center" shrinkToFit="1"/>
    </xf>
    <xf numFmtId="0" fontId="11" fillId="4" borderId="8" xfId="0" applyFont="1" applyFill="1" applyBorder="1" applyAlignment="1">
      <alignment horizontal="center" vertical="center" wrapText="1"/>
    </xf>
    <xf numFmtId="2" fontId="16" fillId="4" borderId="5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1" fontId="14" fillId="4" borderId="5" xfId="0" applyNumberFormat="1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4" fontId="13" fillId="4" borderId="29" xfId="0" applyNumberFormat="1" applyFont="1" applyFill="1" applyBorder="1" applyAlignment="1">
      <alignment horizontal="center" vertical="center" wrapText="1"/>
    </xf>
    <xf numFmtId="4" fontId="13" fillId="4" borderId="9" xfId="0" applyNumberFormat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1" fontId="12" fillId="4" borderId="5" xfId="0" applyNumberFormat="1" applyFont="1" applyFill="1" applyBorder="1" applyAlignment="1">
      <alignment horizontal="center" vertical="center" shrinkToFit="1"/>
    </xf>
    <xf numFmtId="4" fontId="13" fillId="4" borderId="28" xfId="0" applyNumberFormat="1" applyFont="1" applyFill="1" applyBorder="1" applyAlignment="1">
      <alignment horizontal="center" vertical="center" wrapText="1"/>
    </xf>
    <xf numFmtId="4" fontId="13" fillId="4" borderId="26" xfId="0" applyNumberFormat="1" applyFont="1" applyFill="1" applyBorder="1" applyAlignment="1">
      <alignment horizontal="center" vertical="center" wrapText="1"/>
    </xf>
    <xf numFmtId="4" fontId="13" fillId="4" borderId="0" xfId="0" applyNumberFormat="1" applyFont="1" applyFill="1" applyBorder="1" applyAlignment="1">
      <alignment horizontal="center" vertical="center" wrapText="1"/>
    </xf>
    <xf numFmtId="1" fontId="12" fillId="4" borderId="35" xfId="0" applyNumberFormat="1" applyFont="1" applyFill="1" applyBorder="1" applyAlignment="1">
      <alignment horizontal="center" vertical="center" shrinkToFit="1"/>
    </xf>
    <xf numFmtId="4" fontId="13" fillId="4" borderId="35" xfId="0" applyNumberFormat="1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5" fillId="3" borderId="0" xfId="0" applyFont="1" applyFill="1"/>
    <xf numFmtId="0" fontId="5" fillId="3" borderId="0" xfId="0" applyFont="1" applyFill="1" applyAlignment="1">
      <alignment horizontal="left" vertical="top"/>
    </xf>
    <xf numFmtId="0" fontId="7" fillId="3" borderId="0" xfId="0" applyFont="1" applyFill="1"/>
    <xf numFmtId="0" fontId="16" fillId="4" borderId="5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34" xfId="0" applyFont="1" applyBorder="1" applyAlignment="1">
      <alignment horizontal="left" vertical="top"/>
    </xf>
    <xf numFmtId="0" fontId="5" fillId="0" borderId="36" xfId="0" applyFont="1" applyBorder="1"/>
    <xf numFmtId="0" fontId="17" fillId="3" borderId="5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5" fillId="0" borderId="0" xfId="0" applyFont="1"/>
    <xf numFmtId="0" fontId="9" fillId="0" borderId="1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49" fontId="9" fillId="0" borderId="23" xfId="0" applyNumberFormat="1" applyFont="1" applyBorder="1" applyAlignment="1">
      <alignment horizontal="left" vertical="center" wrapText="1"/>
    </xf>
    <xf numFmtId="49" fontId="9" fillId="0" borderId="24" xfId="0" applyNumberFormat="1" applyFont="1" applyBorder="1" applyAlignment="1">
      <alignment horizontal="left" vertical="center" wrapText="1"/>
    </xf>
    <xf numFmtId="49" fontId="9" fillId="0" borderId="2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0</xdr:colOff>
      <xdr:row>4</xdr:row>
      <xdr:rowOff>160019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6922A7-511A-811D-CBA3-9954E2A9FB90}"/>
            </a:ext>
          </a:extLst>
        </xdr:cNvPr>
        <xdr:cNvSpPr/>
      </xdr:nvSpPr>
      <xdr:spPr>
        <a:xfrm>
          <a:off x="0" y="0"/>
          <a:ext cx="6968490" cy="891539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+mn-lt"/>
          </a:endParaRPr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16</xdr:col>
      <xdr:colOff>0</xdr:colOff>
      <xdr:row>50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E551587-2DF0-45C8-BD48-86A94C188A24}"/>
            </a:ext>
          </a:extLst>
        </xdr:cNvPr>
        <xdr:cNvCxnSpPr/>
      </xdr:nvCxnSpPr>
      <xdr:spPr>
        <a:xfrm>
          <a:off x="5610225" y="9525000"/>
          <a:ext cx="1247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129540</xdr:colOff>
      <xdr:row>50</xdr:row>
      <xdr:rowOff>3810</xdr:rowOff>
    </xdr:from>
    <xdr:to>
      <xdr:col>3</xdr:col>
      <xdr:colOff>11430</xdr:colOff>
      <xdr:row>50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659753E-11E7-45B1-9BA9-06E9614FF181}"/>
            </a:ext>
          </a:extLst>
        </xdr:cNvPr>
        <xdr:cNvCxnSpPr/>
      </xdr:nvCxnSpPr>
      <xdr:spPr>
        <a:xfrm flipV="1">
          <a:off x="129540" y="9997440"/>
          <a:ext cx="1447800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0438-3E55-4577-9114-1AFB29644CCF}">
  <dimension ref="A1:AC87"/>
  <sheetViews>
    <sheetView tabSelected="1" topLeftCell="A41" zoomScale="250" zoomScaleNormal="250" workbookViewId="0">
      <selection activeCell="L52" sqref="L52"/>
    </sheetView>
  </sheetViews>
  <sheetFormatPr defaultRowHeight="14.25"/>
  <cols>
    <col min="1" max="1" width="2" style="8" customWidth="1"/>
    <col min="2" max="2" width="9.28515625" style="8" customWidth="1"/>
    <col min="3" max="3" width="11.140625" style="8" customWidth="1"/>
    <col min="4" max="4" width="8.5703125" style="8" bestFit="1" customWidth="1"/>
    <col min="5" max="5" width="4.7109375" style="8" customWidth="1"/>
    <col min="6" max="6" width="4.5703125" style="8" bestFit="1" customWidth="1"/>
    <col min="7" max="7" width="5" style="8" customWidth="1"/>
    <col min="8" max="8" width="7.140625" style="8" customWidth="1"/>
    <col min="9" max="9" width="2.28515625" style="8" customWidth="1"/>
    <col min="10" max="10" width="8.28515625" style="8" bestFit="1" customWidth="1"/>
    <col min="11" max="11" width="9.42578125" style="8" customWidth="1"/>
    <col min="12" max="12" width="7.28515625" style="8" customWidth="1"/>
    <col min="13" max="13" width="4.85546875" style="8" customWidth="1"/>
    <col min="14" max="14" width="3.85546875" style="8" bestFit="1" customWidth="1"/>
    <col min="15" max="15" width="6.28515625" style="8" customWidth="1"/>
    <col min="16" max="17" width="9.28515625" style="8" bestFit="1" customWidth="1"/>
    <col min="18" max="19" width="9.140625" style="8"/>
    <col min="20" max="20" width="10.140625" style="8" bestFit="1" customWidth="1"/>
    <col min="21" max="16384" width="9.140625" style="8"/>
  </cols>
  <sheetData>
    <row r="1" spans="1:2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2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2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</row>
    <row r="4" spans="1:2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</row>
    <row r="5" spans="1:21" ht="13.5" customHeight="1" thickBo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</row>
    <row r="6" spans="1:21" ht="17.25" customHeight="1" thickBot="1">
      <c r="A6" s="108" t="s">
        <v>120</v>
      </c>
      <c r="B6" s="109"/>
      <c r="C6" s="110">
        <v>9802</v>
      </c>
      <c r="D6" s="111"/>
      <c r="E6" s="111"/>
      <c r="F6" s="112"/>
      <c r="G6" s="94" t="s">
        <v>145</v>
      </c>
      <c r="H6" s="95"/>
      <c r="I6" s="95"/>
      <c r="J6" s="95"/>
      <c r="K6" s="95"/>
      <c r="L6" s="113" t="s">
        <v>121</v>
      </c>
      <c r="M6" s="114"/>
      <c r="N6" s="96"/>
      <c r="O6" s="97"/>
      <c r="P6" s="98"/>
      <c r="Q6" s="5"/>
      <c r="R6" s="5"/>
      <c r="S6" s="5"/>
      <c r="T6" s="5"/>
    </row>
    <row r="7" spans="1:21" ht="18.75" customHeight="1" thickBot="1">
      <c r="A7" s="103" t="s">
        <v>122</v>
      </c>
      <c r="B7" s="104"/>
      <c r="C7" s="105" t="s">
        <v>144</v>
      </c>
      <c r="D7" s="106"/>
      <c r="E7" s="106"/>
      <c r="F7" s="106"/>
      <c r="G7" s="106"/>
      <c r="H7" s="106"/>
      <c r="I7" s="106"/>
      <c r="J7" s="106"/>
      <c r="K7" s="106"/>
      <c r="L7" s="115" t="s">
        <v>123</v>
      </c>
      <c r="M7" s="115"/>
      <c r="N7" s="99" t="s">
        <v>143</v>
      </c>
      <c r="O7" s="100"/>
      <c r="P7" s="101"/>
      <c r="Q7" s="7"/>
      <c r="R7" s="6"/>
      <c r="S7" s="6"/>
      <c r="T7" s="6"/>
    </row>
    <row r="8" spans="1:21" ht="13.5" customHeight="1">
      <c r="A8" s="39" t="s">
        <v>0</v>
      </c>
      <c r="B8" s="1" t="s">
        <v>1</v>
      </c>
      <c r="C8" s="2" t="s">
        <v>2</v>
      </c>
      <c r="D8" s="1" t="s">
        <v>2</v>
      </c>
      <c r="E8" s="2" t="s">
        <v>3</v>
      </c>
      <c r="F8" s="1" t="s">
        <v>4</v>
      </c>
      <c r="G8" s="2" t="s">
        <v>5</v>
      </c>
      <c r="H8" s="1" t="s">
        <v>6</v>
      </c>
      <c r="I8" s="1" t="s">
        <v>0</v>
      </c>
      <c r="J8" s="1" t="s">
        <v>1</v>
      </c>
      <c r="K8" s="1" t="s">
        <v>2</v>
      </c>
      <c r="L8" s="1" t="s">
        <v>2</v>
      </c>
      <c r="M8" s="1" t="s">
        <v>3</v>
      </c>
      <c r="N8" s="1" t="s">
        <v>4</v>
      </c>
      <c r="O8" s="3" t="s">
        <v>5</v>
      </c>
      <c r="P8" s="3" t="s">
        <v>6</v>
      </c>
      <c r="U8" s="9"/>
    </row>
    <row r="9" spans="1:21" ht="15.75" customHeight="1">
      <c r="A9" s="51">
        <v>1</v>
      </c>
      <c r="B9" s="52">
        <v>5000000641</v>
      </c>
      <c r="C9" s="53" t="s">
        <v>67</v>
      </c>
      <c r="D9" s="54" t="s">
        <v>68</v>
      </c>
      <c r="E9" s="53" t="s">
        <v>12</v>
      </c>
      <c r="F9" s="84"/>
      <c r="G9" s="55">
        <v>37.4</v>
      </c>
      <c r="H9" s="55">
        <f t="shared" ref="H9:H22" si="0">F9*G9</f>
        <v>0</v>
      </c>
      <c r="I9" s="51">
        <v>40</v>
      </c>
      <c r="J9" s="64">
        <v>5000000608</v>
      </c>
      <c r="K9" s="65" t="s">
        <v>58</v>
      </c>
      <c r="L9" s="66" t="s">
        <v>59</v>
      </c>
      <c r="M9" s="65" t="s">
        <v>52</v>
      </c>
      <c r="N9" s="92"/>
      <c r="O9" s="67">
        <v>154.44</v>
      </c>
      <c r="P9" s="68">
        <f t="shared" ref="P9:P18" si="1">N9*O9</f>
        <v>0</v>
      </c>
    </row>
    <row r="10" spans="1:21" s="77" customFormat="1" ht="18">
      <c r="A10" s="38">
        <v>2</v>
      </c>
      <c r="B10" s="29">
        <v>5000000561</v>
      </c>
      <c r="C10" s="26" t="s">
        <v>7</v>
      </c>
      <c r="D10" s="23" t="s">
        <v>8</v>
      </c>
      <c r="E10" s="26" t="s">
        <v>9</v>
      </c>
      <c r="F10" s="91">
        <v>6</v>
      </c>
      <c r="G10" s="37">
        <v>179.4</v>
      </c>
      <c r="H10" s="37">
        <f t="shared" si="0"/>
        <v>1076.4000000000001</v>
      </c>
      <c r="I10" s="38">
        <v>41</v>
      </c>
      <c r="J10" s="34">
        <v>5000000600</v>
      </c>
      <c r="K10" s="35" t="s">
        <v>75</v>
      </c>
      <c r="L10" s="36" t="s">
        <v>76</v>
      </c>
      <c r="M10" s="35" t="s">
        <v>12</v>
      </c>
      <c r="N10" s="91"/>
      <c r="O10" s="27">
        <v>34</v>
      </c>
      <c r="P10" s="28">
        <f t="shared" si="1"/>
        <v>0</v>
      </c>
    </row>
    <row r="11" spans="1:21" ht="16.5">
      <c r="A11" s="51">
        <v>3</v>
      </c>
      <c r="B11" s="56">
        <v>5000000562</v>
      </c>
      <c r="C11" s="57" t="s">
        <v>7</v>
      </c>
      <c r="D11" s="54" t="s">
        <v>8</v>
      </c>
      <c r="E11" s="57" t="s">
        <v>12</v>
      </c>
      <c r="F11" s="92">
        <v>6</v>
      </c>
      <c r="G11" s="55">
        <v>93.15</v>
      </c>
      <c r="H11" s="55">
        <f t="shared" si="0"/>
        <v>558.90000000000009</v>
      </c>
      <c r="I11" s="51">
        <v>42</v>
      </c>
      <c r="J11" s="64">
        <v>5000000607</v>
      </c>
      <c r="K11" s="69" t="s">
        <v>98</v>
      </c>
      <c r="L11" s="66" t="s">
        <v>99</v>
      </c>
      <c r="M11" s="65" t="s">
        <v>12</v>
      </c>
      <c r="N11" s="92"/>
      <c r="O11" s="67">
        <v>51</v>
      </c>
      <c r="P11" s="68">
        <f t="shared" si="1"/>
        <v>0</v>
      </c>
    </row>
    <row r="12" spans="1:21" s="77" customFormat="1">
      <c r="A12" s="38">
        <v>4</v>
      </c>
      <c r="B12" s="29">
        <v>5000000563</v>
      </c>
      <c r="C12" s="26" t="s">
        <v>15</v>
      </c>
      <c r="D12" s="23" t="s">
        <v>16</v>
      </c>
      <c r="E12" s="26" t="s">
        <v>9</v>
      </c>
      <c r="F12" s="91"/>
      <c r="G12" s="37">
        <v>179.4</v>
      </c>
      <c r="H12" s="37">
        <f t="shared" si="0"/>
        <v>0</v>
      </c>
      <c r="I12" s="38">
        <v>43</v>
      </c>
      <c r="J12" s="34">
        <v>5000000633</v>
      </c>
      <c r="K12" s="35" t="s">
        <v>104</v>
      </c>
      <c r="L12" s="36" t="s">
        <v>105</v>
      </c>
      <c r="M12" s="35" t="s">
        <v>52</v>
      </c>
      <c r="N12" s="91"/>
      <c r="O12" s="27">
        <v>95.2</v>
      </c>
      <c r="P12" s="28">
        <f t="shared" si="1"/>
        <v>0</v>
      </c>
    </row>
    <row r="13" spans="1:21">
      <c r="A13" s="51">
        <v>5</v>
      </c>
      <c r="B13" s="58">
        <v>5000000564</v>
      </c>
      <c r="C13" s="57" t="s">
        <v>15</v>
      </c>
      <c r="D13" s="54" t="s">
        <v>16</v>
      </c>
      <c r="E13" s="57" t="s">
        <v>12</v>
      </c>
      <c r="F13" s="92"/>
      <c r="G13" s="55">
        <v>91.8</v>
      </c>
      <c r="H13" s="55">
        <f t="shared" si="0"/>
        <v>0</v>
      </c>
      <c r="I13" s="51">
        <v>44</v>
      </c>
      <c r="J13" s="64">
        <v>5000000634</v>
      </c>
      <c r="K13" s="65" t="s">
        <v>95</v>
      </c>
      <c r="L13" s="66" t="s">
        <v>96</v>
      </c>
      <c r="M13" s="65" t="s">
        <v>97</v>
      </c>
      <c r="N13" s="92"/>
      <c r="O13" s="67">
        <v>27.2</v>
      </c>
      <c r="P13" s="68">
        <f t="shared" si="1"/>
        <v>0</v>
      </c>
    </row>
    <row r="14" spans="1:21" s="77" customFormat="1" ht="18">
      <c r="A14" s="38">
        <v>6</v>
      </c>
      <c r="B14" s="25">
        <v>5000000627</v>
      </c>
      <c r="C14" s="26" t="s">
        <v>20</v>
      </c>
      <c r="D14" s="23" t="s">
        <v>21</v>
      </c>
      <c r="E14" s="26" t="s">
        <v>22</v>
      </c>
      <c r="F14" s="91"/>
      <c r="G14" s="37">
        <v>29.7</v>
      </c>
      <c r="H14" s="37">
        <f t="shared" si="0"/>
        <v>0</v>
      </c>
      <c r="I14" s="38">
        <v>45</v>
      </c>
      <c r="J14" s="34">
        <v>5000000599</v>
      </c>
      <c r="K14" s="35" t="s">
        <v>114</v>
      </c>
      <c r="L14" s="36" t="s">
        <v>115</v>
      </c>
      <c r="M14" s="35" t="s">
        <v>52</v>
      </c>
      <c r="N14" s="91"/>
      <c r="O14" s="27">
        <v>36.299999999999997</v>
      </c>
      <c r="P14" s="28">
        <f t="shared" si="1"/>
        <v>0</v>
      </c>
      <c r="Q14" s="77" t="s">
        <v>127</v>
      </c>
      <c r="U14" s="78"/>
    </row>
    <row r="15" spans="1:21" ht="18">
      <c r="A15" s="51">
        <v>7</v>
      </c>
      <c r="B15" s="59">
        <v>5000000628</v>
      </c>
      <c r="C15" s="57" t="s">
        <v>20</v>
      </c>
      <c r="D15" s="54" t="s">
        <v>21</v>
      </c>
      <c r="E15" s="57" t="s">
        <v>9</v>
      </c>
      <c r="F15" s="92"/>
      <c r="G15" s="55">
        <v>16.5</v>
      </c>
      <c r="H15" s="55">
        <f t="shared" si="0"/>
        <v>0</v>
      </c>
      <c r="I15" s="51">
        <v>46</v>
      </c>
      <c r="J15" s="70">
        <v>5000000639</v>
      </c>
      <c r="K15" s="66" t="s">
        <v>77</v>
      </c>
      <c r="L15" s="66" t="s">
        <v>78</v>
      </c>
      <c r="M15" s="66" t="s">
        <v>12</v>
      </c>
      <c r="N15" s="92"/>
      <c r="O15" s="67">
        <v>88.4</v>
      </c>
      <c r="P15" s="68">
        <f t="shared" si="1"/>
        <v>0</v>
      </c>
      <c r="U15" s="9"/>
    </row>
    <row r="16" spans="1:21" s="77" customFormat="1" ht="18">
      <c r="A16" s="38">
        <v>8</v>
      </c>
      <c r="B16" s="25">
        <v>5000000602</v>
      </c>
      <c r="C16" s="26" t="s">
        <v>31</v>
      </c>
      <c r="D16" s="23" t="s">
        <v>32</v>
      </c>
      <c r="E16" s="26" t="s">
        <v>9</v>
      </c>
      <c r="F16" s="91"/>
      <c r="G16" s="37">
        <v>26.4</v>
      </c>
      <c r="H16" s="37">
        <f t="shared" si="0"/>
        <v>0</v>
      </c>
      <c r="I16" s="38">
        <v>47</v>
      </c>
      <c r="J16" s="34">
        <v>5000000568</v>
      </c>
      <c r="K16" s="36" t="s">
        <v>89</v>
      </c>
      <c r="L16" s="36" t="s">
        <v>90</v>
      </c>
      <c r="M16" s="35" t="s">
        <v>12</v>
      </c>
      <c r="N16" s="91"/>
      <c r="O16" s="24">
        <v>108.8</v>
      </c>
      <c r="P16" s="28">
        <f t="shared" si="1"/>
        <v>0</v>
      </c>
      <c r="U16" s="78"/>
    </row>
    <row r="17" spans="1:21" ht="15.95" customHeight="1">
      <c r="A17" s="51">
        <v>9</v>
      </c>
      <c r="B17" s="59">
        <v>5000000625</v>
      </c>
      <c r="C17" s="57" t="s">
        <v>31</v>
      </c>
      <c r="D17" s="54" t="s">
        <v>32</v>
      </c>
      <c r="E17" s="57" t="s">
        <v>12</v>
      </c>
      <c r="F17" s="92"/>
      <c r="G17" s="55">
        <v>17</v>
      </c>
      <c r="H17" s="55">
        <f t="shared" si="0"/>
        <v>0</v>
      </c>
      <c r="I17" s="51">
        <v>48</v>
      </c>
      <c r="J17" s="64">
        <v>5000000952</v>
      </c>
      <c r="K17" s="66" t="s">
        <v>132</v>
      </c>
      <c r="L17" s="80" t="s">
        <v>139</v>
      </c>
      <c r="M17" s="66" t="s">
        <v>22</v>
      </c>
      <c r="N17" s="92"/>
      <c r="O17" s="71">
        <v>91</v>
      </c>
      <c r="P17" s="68">
        <f t="shared" si="1"/>
        <v>0</v>
      </c>
      <c r="U17" s="9"/>
    </row>
    <row r="18" spans="1:21" s="77" customFormat="1" ht="15.95" customHeight="1">
      <c r="A18" s="38">
        <v>10</v>
      </c>
      <c r="B18" s="25">
        <v>5000000632</v>
      </c>
      <c r="C18" s="26" t="s">
        <v>63</v>
      </c>
      <c r="D18" s="23" t="s">
        <v>64</v>
      </c>
      <c r="E18" s="26" t="s">
        <v>17</v>
      </c>
      <c r="F18" s="91"/>
      <c r="G18" s="37">
        <v>122.4</v>
      </c>
      <c r="H18" s="37">
        <f t="shared" si="0"/>
        <v>0</v>
      </c>
      <c r="I18" s="38">
        <v>49</v>
      </c>
      <c r="J18" s="34">
        <v>5000000949</v>
      </c>
      <c r="K18" s="36" t="s">
        <v>131</v>
      </c>
      <c r="L18" s="83" t="s">
        <v>140</v>
      </c>
      <c r="M18" s="36" t="s">
        <v>22</v>
      </c>
      <c r="N18" s="91"/>
      <c r="O18" s="24">
        <v>35.75</v>
      </c>
      <c r="P18" s="28">
        <f t="shared" si="1"/>
        <v>0</v>
      </c>
      <c r="U18" s="78"/>
    </row>
    <row r="19" spans="1:21" ht="15.95" customHeight="1">
      <c r="A19" s="51">
        <v>11</v>
      </c>
      <c r="B19" s="59">
        <v>5000000565</v>
      </c>
      <c r="C19" s="57" t="s">
        <v>37</v>
      </c>
      <c r="D19" s="54" t="s">
        <v>38</v>
      </c>
      <c r="E19" s="57" t="s">
        <v>12</v>
      </c>
      <c r="F19" s="92"/>
      <c r="G19" s="55">
        <v>34.5</v>
      </c>
      <c r="H19" s="55">
        <f t="shared" si="0"/>
        <v>0</v>
      </c>
      <c r="I19" s="51">
        <v>50</v>
      </c>
      <c r="J19" s="64">
        <v>5000000618</v>
      </c>
      <c r="K19" s="65" t="s">
        <v>102</v>
      </c>
      <c r="L19" s="66" t="s">
        <v>103</v>
      </c>
      <c r="M19" s="65" t="s">
        <v>52</v>
      </c>
      <c r="N19" s="92"/>
      <c r="O19" s="71">
        <v>89.7</v>
      </c>
      <c r="P19" s="68">
        <f t="shared" ref="P19:P36" si="2">N19*O19</f>
        <v>0</v>
      </c>
      <c r="U19" s="9"/>
    </row>
    <row r="20" spans="1:21" s="77" customFormat="1" ht="15.95" customHeight="1">
      <c r="A20" s="38">
        <v>12</v>
      </c>
      <c r="B20" s="25">
        <v>5000000603</v>
      </c>
      <c r="C20" s="26" t="s">
        <v>41</v>
      </c>
      <c r="D20" s="23" t="s">
        <v>42</v>
      </c>
      <c r="E20" s="26" t="s">
        <v>12</v>
      </c>
      <c r="F20" s="91"/>
      <c r="G20" s="37">
        <v>85.8</v>
      </c>
      <c r="H20" s="37">
        <f t="shared" si="0"/>
        <v>0</v>
      </c>
      <c r="I20" s="38">
        <v>51</v>
      </c>
      <c r="J20" s="34">
        <v>5000000613</v>
      </c>
      <c r="K20" s="35" t="s">
        <v>93</v>
      </c>
      <c r="L20" s="36" t="s">
        <v>94</v>
      </c>
      <c r="M20" s="35" t="s">
        <v>9</v>
      </c>
      <c r="N20" s="91">
        <v>6</v>
      </c>
      <c r="O20" s="24">
        <v>23.8</v>
      </c>
      <c r="P20" s="28">
        <f t="shared" si="2"/>
        <v>142.80000000000001</v>
      </c>
      <c r="U20" s="78"/>
    </row>
    <row r="21" spans="1:21" ht="15.95" customHeight="1">
      <c r="A21" s="51">
        <v>13</v>
      </c>
      <c r="B21" s="59">
        <v>5000000604</v>
      </c>
      <c r="C21" s="57" t="s">
        <v>41</v>
      </c>
      <c r="D21" s="54" t="s">
        <v>42</v>
      </c>
      <c r="E21" s="57" t="s">
        <v>17</v>
      </c>
      <c r="F21" s="92"/>
      <c r="G21" s="55">
        <v>46.2</v>
      </c>
      <c r="H21" s="55">
        <f t="shared" si="0"/>
        <v>0</v>
      </c>
      <c r="I21" s="51">
        <v>52</v>
      </c>
      <c r="J21" s="64">
        <v>5000000581</v>
      </c>
      <c r="K21" s="65" t="s">
        <v>106</v>
      </c>
      <c r="L21" s="66" t="s">
        <v>107</v>
      </c>
      <c r="M21" s="65" t="s">
        <v>9</v>
      </c>
      <c r="N21" s="92"/>
      <c r="O21" s="71">
        <v>88.4</v>
      </c>
      <c r="P21" s="68">
        <f t="shared" si="2"/>
        <v>0</v>
      </c>
      <c r="U21" s="9"/>
    </row>
    <row r="22" spans="1:21" s="77" customFormat="1" ht="15.95" customHeight="1">
      <c r="A22" s="38">
        <v>14</v>
      </c>
      <c r="B22" s="25">
        <v>5000000951</v>
      </c>
      <c r="C22" s="30" t="s">
        <v>133</v>
      </c>
      <c r="D22" s="82" t="s">
        <v>138</v>
      </c>
      <c r="E22" s="30" t="s">
        <v>22</v>
      </c>
      <c r="F22" s="91"/>
      <c r="G22" s="37">
        <v>35.75</v>
      </c>
      <c r="H22" s="37">
        <f t="shared" si="0"/>
        <v>0</v>
      </c>
      <c r="I22" s="38">
        <v>53</v>
      </c>
      <c r="J22" s="34">
        <v>5000000619</v>
      </c>
      <c r="K22" s="35" t="s">
        <v>112</v>
      </c>
      <c r="L22" s="36" t="s">
        <v>113</v>
      </c>
      <c r="M22" s="35" t="s">
        <v>12</v>
      </c>
      <c r="N22" s="91"/>
      <c r="O22" s="24">
        <v>71.5</v>
      </c>
      <c r="P22" s="28">
        <f t="shared" si="2"/>
        <v>0</v>
      </c>
      <c r="U22" s="78"/>
    </row>
    <row r="23" spans="1:21" ht="15.95" customHeight="1">
      <c r="A23" s="51">
        <v>15</v>
      </c>
      <c r="B23" s="60">
        <v>5000000606</v>
      </c>
      <c r="C23" s="57" t="s">
        <v>25</v>
      </c>
      <c r="D23" s="61" t="s">
        <v>26</v>
      </c>
      <c r="E23" s="57" t="s">
        <v>17</v>
      </c>
      <c r="F23" s="92"/>
      <c r="G23" s="55">
        <v>40.200000000000003</v>
      </c>
      <c r="H23" s="55">
        <f t="shared" ref="H23:H31" si="3">F23*G23</f>
        <v>0</v>
      </c>
      <c r="I23" s="51">
        <v>54</v>
      </c>
      <c r="J23" s="64">
        <v>5000000611</v>
      </c>
      <c r="K23" s="65" t="s">
        <v>112</v>
      </c>
      <c r="L23" s="66" t="s">
        <v>113</v>
      </c>
      <c r="M23" s="65" t="s">
        <v>17</v>
      </c>
      <c r="N23" s="92"/>
      <c r="O23" s="71">
        <v>35.75</v>
      </c>
      <c r="P23" s="68">
        <f t="shared" si="2"/>
        <v>0</v>
      </c>
      <c r="U23" s="9"/>
    </row>
    <row r="24" spans="1:21" s="77" customFormat="1" ht="15.95" customHeight="1">
      <c r="A24" s="38">
        <v>16</v>
      </c>
      <c r="B24" s="25">
        <v>5000000568</v>
      </c>
      <c r="C24" s="26" t="s">
        <v>48</v>
      </c>
      <c r="D24" s="23" t="s">
        <v>49</v>
      </c>
      <c r="E24" s="26" t="s">
        <v>12</v>
      </c>
      <c r="F24" s="91"/>
      <c r="G24" s="48">
        <v>300.2</v>
      </c>
      <c r="H24" s="37">
        <f t="shared" si="3"/>
        <v>0</v>
      </c>
      <c r="I24" s="38">
        <v>55</v>
      </c>
      <c r="J24" s="34">
        <v>5000000616</v>
      </c>
      <c r="K24" s="35" t="s">
        <v>116</v>
      </c>
      <c r="L24" s="36" t="s">
        <v>117</v>
      </c>
      <c r="M24" s="35" t="s">
        <v>9</v>
      </c>
      <c r="N24" s="91"/>
      <c r="O24" s="24">
        <v>40.799999999999997</v>
      </c>
      <c r="P24" s="28">
        <f t="shared" si="2"/>
        <v>0</v>
      </c>
      <c r="U24" s="78"/>
    </row>
    <row r="25" spans="1:21" ht="15.95" customHeight="1">
      <c r="A25" s="51">
        <v>17</v>
      </c>
      <c r="B25" s="59">
        <v>5000000567</v>
      </c>
      <c r="C25" s="57" t="s">
        <v>48</v>
      </c>
      <c r="D25" s="54" t="s">
        <v>49</v>
      </c>
      <c r="E25" s="57" t="s">
        <v>17</v>
      </c>
      <c r="F25" s="92"/>
      <c r="G25" s="62">
        <v>155.80000000000001</v>
      </c>
      <c r="H25" s="55">
        <f t="shared" si="3"/>
        <v>0</v>
      </c>
      <c r="I25" s="51">
        <v>56</v>
      </c>
      <c r="J25" s="64">
        <v>5000000948</v>
      </c>
      <c r="K25" s="66" t="s">
        <v>129</v>
      </c>
      <c r="L25" s="66" t="s">
        <v>142</v>
      </c>
      <c r="M25" s="66" t="s">
        <v>22</v>
      </c>
      <c r="N25" s="92"/>
      <c r="O25" s="71">
        <v>40.299999999999997</v>
      </c>
      <c r="P25" s="68">
        <f t="shared" si="2"/>
        <v>0</v>
      </c>
      <c r="U25" s="9"/>
    </row>
    <row r="26" spans="1:21" s="77" customFormat="1" ht="15.95" customHeight="1">
      <c r="A26" s="38">
        <v>18</v>
      </c>
      <c r="B26" s="25">
        <v>5000000629</v>
      </c>
      <c r="C26" s="26" t="s">
        <v>65</v>
      </c>
      <c r="D26" s="23" t="s">
        <v>66</v>
      </c>
      <c r="E26" s="26" t="s">
        <v>9</v>
      </c>
      <c r="F26" s="91"/>
      <c r="G26" s="37">
        <v>210.45</v>
      </c>
      <c r="H26" s="37">
        <f t="shared" si="3"/>
        <v>0</v>
      </c>
      <c r="I26" s="38">
        <v>57</v>
      </c>
      <c r="J26" s="44">
        <v>5000000582</v>
      </c>
      <c r="K26" s="35" t="s">
        <v>10</v>
      </c>
      <c r="L26" s="35" t="s">
        <v>11</v>
      </c>
      <c r="M26" s="35" t="s">
        <v>9</v>
      </c>
      <c r="N26" s="91"/>
      <c r="O26" s="24">
        <v>40.799999999999997</v>
      </c>
      <c r="P26" s="37">
        <f t="shared" si="2"/>
        <v>0</v>
      </c>
      <c r="U26" s="78"/>
    </row>
    <row r="27" spans="1:21" ht="15.95" customHeight="1">
      <c r="A27" s="51">
        <v>19</v>
      </c>
      <c r="B27" s="59">
        <v>5000000569</v>
      </c>
      <c r="C27" s="57" t="s">
        <v>65</v>
      </c>
      <c r="D27" s="54" t="s">
        <v>66</v>
      </c>
      <c r="E27" s="57" t="s">
        <v>12</v>
      </c>
      <c r="F27" s="92"/>
      <c r="G27" s="55">
        <v>110.4</v>
      </c>
      <c r="H27" s="55">
        <f t="shared" si="3"/>
        <v>0</v>
      </c>
      <c r="I27" s="51">
        <v>58</v>
      </c>
      <c r="J27" s="70">
        <v>5000000584</v>
      </c>
      <c r="K27" s="65" t="s">
        <v>13</v>
      </c>
      <c r="L27" s="65" t="s">
        <v>14</v>
      </c>
      <c r="M27" s="65" t="s">
        <v>12</v>
      </c>
      <c r="N27" s="92"/>
      <c r="O27" s="71">
        <v>234.6</v>
      </c>
      <c r="P27" s="72">
        <f t="shared" si="2"/>
        <v>0</v>
      </c>
      <c r="U27" s="9"/>
    </row>
    <row r="28" spans="1:21" s="77" customFormat="1" ht="15.95" customHeight="1">
      <c r="A28" s="38">
        <v>20</v>
      </c>
      <c r="B28" s="33">
        <v>5000000601</v>
      </c>
      <c r="C28" s="26" t="s">
        <v>60</v>
      </c>
      <c r="D28" s="32" t="s">
        <v>61</v>
      </c>
      <c r="E28" s="26" t="s">
        <v>62</v>
      </c>
      <c r="F28" s="91"/>
      <c r="G28" s="37">
        <v>25.2</v>
      </c>
      <c r="H28" s="37">
        <f t="shared" si="3"/>
        <v>0</v>
      </c>
      <c r="I28" s="38">
        <v>59</v>
      </c>
      <c r="J28" s="44">
        <v>5000000583</v>
      </c>
      <c r="K28" s="35" t="s">
        <v>13</v>
      </c>
      <c r="L28" s="35" t="s">
        <v>14</v>
      </c>
      <c r="M28" s="35" t="s">
        <v>17</v>
      </c>
      <c r="N28" s="91"/>
      <c r="O28" s="24">
        <v>124.2</v>
      </c>
      <c r="P28" s="28">
        <f t="shared" si="2"/>
        <v>0</v>
      </c>
      <c r="U28" s="78"/>
    </row>
    <row r="29" spans="1:21" ht="15.95" customHeight="1">
      <c r="A29" s="51">
        <v>21</v>
      </c>
      <c r="B29" s="60">
        <v>5000000072</v>
      </c>
      <c r="C29" s="63" t="s">
        <v>73</v>
      </c>
      <c r="D29" s="54" t="s">
        <v>74</v>
      </c>
      <c r="E29" s="63" t="s">
        <v>12</v>
      </c>
      <c r="F29" s="92">
        <v>6</v>
      </c>
      <c r="G29" s="55">
        <v>39.6</v>
      </c>
      <c r="H29" s="55">
        <f t="shared" si="3"/>
        <v>237.60000000000002</v>
      </c>
      <c r="I29" s="51">
        <v>60</v>
      </c>
      <c r="J29" s="70">
        <v>5000000631</v>
      </c>
      <c r="K29" s="65" t="s">
        <v>18</v>
      </c>
      <c r="L29" s="65" t="s">
        <v>19</v>
      </c>
      <c r="M29" s="65" t="s">
        <v>17</v>
      </c>
      <c r="N29" s="92"/>
      <c r="O29" s="71">
        <v>71.400000000000006</v>
      </c>
      <c r="P29" s="68">
        <f t="shared" si="2"/>
        <v>0</v>
      </c>
      <c r="U29" s="9"/>
    </row>
    <row r="30" spans="1:21" s="77" customFormat="1" ht="15.95" customHeight="1">
      <c r="A30" s="38">
        <v>22</v>
      </c>
      <c r="B30" s="33">
        <v>5000000597</v>
      </c>
      <c r="C30" s="30" t="s">
        <v>53</v>
      </c>
      <c r="D30" s="32" t="s">
        <v>54</v>
      </c>
      <c r="E30" s="26" t="s">
        <v>55</v>
      </c>
      <c r="F30" s="91"/>
      <c r="G30" s="37">
        <v>61.2</v>
      </c>
      <c r="H30" s="37">
        <f t="shared" si="3"/>
        <v>0</v>
      </c>
      <c r="I30" s="38">
        <v>61</v>
      </c>
      <c r="J30" s="34">
        <v>5000000630</v>
      </c>
      <c r="K30" s="35" t="s">
        <v>108</v>
      </c>
      <c r="L30" s="36" t="s">
        <v>109</v>
      </c>
      <c r="M30" s="35" t="s">
        <v>9</v>
      </c>
      <c r="N30" s="91"/>
      <c r="O30" s="24">
        <v>20.7</v>
      </c>
      <c r="P30" s="28">
        <f t="shared" si="2"/>
        <v>0</v>
      </c>
      <c r="U30" s="78"/>
    </row>
    <row r="31" spans="1:21" ht="15.95" customHeight="1">
      <c r="A31" s="51">
        <v>23</v>
      </c>
      <c r="B31" s="60">
        <v>5000000950</v>
      </c>
      <c r="C31" s="63" t="s">
        <v>134</v>
      </c>
      <c r="D31" s="81" t="s">
        <v>137</v>
      </c>
      <c r="E31" s="63" t="s">
        <v>22</v>
      </c>
      <c r="F31" s="92"/>
      <c r="G31" s="55">
        <v>35.75</v>
      </c>
      <c r="H31" s="55">
        <f t="shared" si="3"/>
        <v>0</v>
      </c>
      <c r="I31" s="51">
        <v>62</v>
      </c>
      <c r="J31" s="70">
        <v>5000000596</v>
      </c>
      <c r="K31" s="65" t="s">
        <v>125</v>
      </c>
      <c r="L31" s="65" t="s">
        <v>56</v>
      </c>
      <c r="M31" s="65" t="s">
        <v>57</v>
      </c>
      <c r="N31" s="92"/>
      <c r="O31" s="71">
        <v>89.7</v>
      </c>
      <c r="P31" s="68">
        <f t="shared" si="2"/>
        <v>0</v>
      </c>
      <c r="U31" s="9"/>
    </row>
    <row r="32" spans="1:21" s="77" customFormat="1" ht="15.95" customHeight="1">
      <c r="A32" s="38">
        <v>24</v>
      </c>
      <c r="B32" s="25">
        <v>5000000571</v>
      </c>
      <c r="C32" s="26" t="s">
        <v>69</v>
      </c>
      <c r="D32" s="23" t="s">
        <v>70</v>
      </c>
      <c r="E32" s="26" t="s">
        <v>12</v>
      </c>
      <c r="F32" s="91"/>
      <c r="G32" s="37">
        <v>32.85</v>
      </c>
      <c r="H32" s="37">
        <f t="shared" ref="H32:H45" si="4">F32*G32</f>
        <v>0</v>
      </c>
      <c r="I32" s="38">
        <v>63</v>
      </c>
      <c r="J32" s="44">
        <v>5000000900</v>
      </c>
      <c r="K32" s="35" t="s">
        <v>23</v>
      </c>
      <c r="L32" s="35" t="s">
        <v>24</v>
      </c>
      <c r="M32" s="35" t="s">
        <v>126</v>
      </c>
      <c r="N32" s="91"/>
      <c r="O32" s="24">
        <v>210</v>
      </c>
      <c r="P32" s="28">
        <f t="shared" si="2"/>
        <v>0</v>
      </c>
      <c r="U32" s="78"/>
    </row>
    <row r="33" spans="1:29" ht="15.95" customHeight="1">
      <c r="A33" s="51">
        <v>25</v>
      </c>
      <c r="B33" s="59">
        <v>5000000570</v>
      </c>
      <c r="C33" s="57" t="s">
        <v>69</v>
      </c>
      <c r="D33" s="54" t="s">
        <v>70</v>
      </c>
      <c r="E33" s="57" t="s">
        <v>9</v>
      </c>
      <c r="F33" s="92"/>
      <c r="G33" s="55">
        <v>62.05</v>
      </c>
      <c r="H33" s="55">
        <f t="shared" si="4"/>
        <v>0</v>
      </c>
      <c r="I33" s="51">
        <v>64</v>
      </c>
      <c r="J33" s="70">
        <v>5000000899</v>
      </c>
      <c r="K33" s="65" t="s">
        <v>23</v>
      </c>
      <c r="L33" s="65" t="s">
        <v>24</v>
      </c>
      <c r="M33" s="66" t="s">
        <v>55</v>
      </c>
      <c r="N33" s="92"/>
      <c r="O33" s="71">
        <v>120.9</v>
      </c>
      <c r="P33" s="68">
        <f t="shared" si="2"/>
        <v>0</v>
      </c>
      <c r="U33" s="9"/>
    </row>
    <row r="34" spans="1:29" s="77" customFormat="1" ht="15.95" customHeight="1">
      <c r="A34" s="38">
        <v>26</v>
      </c>
      <c r="B34" s="25">
        <v>5000000573</v>
      </c>
      <c r="C34" s="26" t="s">
        <v>79</v>
      </c>
      <c r="D34" s="23" t="s">
        <v>80</v>
      </c>
      <c r="E34" s="26" t="s">
        <v>12</v>
      </c>
      <c r="F34" s="91"/>
      <c r="G34" s="37">
        <v>110.25</v>
      </c>
      <c r="H34" s="37">
        <f t="shared" si="4"/>
        <v>0</v>
      </c>
      <c r="I34" s="38">
        <v>65</v>
      </c>
      <c r="J34" s="44">
        <v>5000000626</v>
      </c>
      <c r="K34" s="35" t="s">
        <v>23</v>
      </c>
      <c r="L34" s="35" t="s">
        <v>24</v>
      </c>
      <c r="M34" s="35" t="s">
        <v>9</v>
      </c>
      <c r="N34" s="91"/>
      <c r="O34" s="24">
        <v>27</v>
      </c>
      <c r="P34" s="28">
        <f t="shared" si="2"/>
        <v>0</v>
      </c>
      <c r="U34" s="78"/>
    </row>
    <row r="35" spans="1:29" ht="15.95" customHeight="1">
      <c r="A35" s="51">
        <v>27</v>
      </c>
      <c r="B35" s="59">
        <v>5000000572</v>
      </c>
      <c r="C35" s="57" t="s">
        <v>79</v>
      </c>
      <c r="D35" s="54" t="s">
        <v>80</v>
      </c>
      <c r="E35" s="57" t="s">
        <v>17</v>
      </c>
      <c r="F35" s="92"/>
      <c r="G35" s="55">
        <v>56.7</v>
      </c>
      <c r="H35" s="55">
        <f t="shared" si="4"/>
        <v>0</v>
      </c>
      <c r="I35" s="51">
        <v>66</v>
      </c>
      <c r="J35" s="70">
        <v>5000000387</v>
      </c>
      <c r="K35" s="66" t="s">
        <v>81</v>
      </c>
      <c r="L35" s="66" t="s">
        <v>82</v>
      </c>
      <c r="M35" s="66" t="s">
        <v>12</v>
      </c>
      <c r="N35" s="92"/>
      <c r="O35" s="71">
        <v>95.2</v>
      </c>
      <c r="P35" s="68">
        <f t="shared" si="2"/>
        <v>0</v>
      </c>
      <c r="U35" s="9"/>
    </row>
    <row r="36" spans="1:29" s="77" customFormat="1" ht="13.5" customHeight="1">
      <c r="A36" s="38">
        <v>28</v>
      </c>
      <c r="B36" s="25">
        <v>5000000617</v>
      </c>
      <c r="C36" s="26" t="s">
        <v>100</v>
      </c>
      <c r="D36" s="23" t="s">
        <v>101</v>
      </c>
      <c r="E36" s="26" t="s">
        <v>9</v>
      </c>
      <c r="F36" s="91"/>
      <c r="G36" s="37">
        <v>35.200000000000003</v>
      </c>
      <c r="H36" s="37">
        <f t="shared" si="4"/>
        <v>0</v>
      </c>
      <c r="I36" s="38">
        <v>67</v>
      </c>
      <c r="J36" s="44">
        <v>5000000947</v>
      </c>
      <c r="K36" s="36" t="s">
        <v>130</v>
      </c>
      <c r="L36" s="83" t="s">
        <v>141</v>
      </c>
      <c r="M36" s="36" t="s">
        <v>22</v>
      </c>
      <c r="N36" s="91"/>
      <c r="O36" s="24">
        <v>35.75</v>
      </c>
      <c r="P36" s="28">
        <f t="shared" si="2"/>
        <v>0</v>
      </c>
      <c r="U36" s="78"/>
    </row>
    <row r="37" spans="1:29" ht="15.95" customHeight="1">
      <c r="A37" s="51">
        <v>29</v>
      </c>
      <c r="B37" s="59">
        <v>5000000577</v>
      </c>
      <c r="C37" s="57" t="s">
        <v>83</v>
      </c>
      <c r="D37" s="54" t="s">
        <v>84</v>
      </c>
      <c r="E37" s="57" t="s">
        <v>55</v>
      </c>
      <c r="F37" s="92"/>
      <c r="G37" s="55">
        <v>414.8</v>
      </c>
      <c r="H37" s="55">
        <f t="shared" si="4"/>
        <v>0</v>
      </c>
      <c r="I37" s="51">
        <v>68</v>
      </c>
      <c r="J37" s="70">
        <v>5000000620</v>
      </c>
      <c r="K37" s="65" t="s">
        <v>29</v>
      </c>
      <c r="L37" s="65" t="s">
        <v>30</v>
      </c>
      <c r="M37" s="65" t="s">
        <v>22</v>
      </c>
      <c r="N37" s="92">
        <v>6</v>
      </c>
      <c r="O37" s="71">
        <v>47.6</v>
      </c>
      <c r="P37" s="68">
        <f t="shared" ref="P37:P43" si="5">N37*O37</f>
        <v>285.60000000000002</v>
      </c>
      <c r="U37" s="9"/>
    </row>
    <row r="38" spans="1:29" s="77" customFormat="1" ht="15.95" customHeight="1">
      <c r="A38" s="38">
        <v>30</v>
      </c>
      <c r="B38" s="25">
        <v>5000000575</v>
      </c>
      <c r="C38" s="26" t="s">
        <v>83</v>
      </c>
      <c r="D38" s="23" t="s">
        <v>84</v>
      </c>
      <c r="E38" s="26" t="s">
        <v>22</v>
      </c>
      <c r="F38" s="91"/>
      <c r="G38" s="37">
        <v>163.19999999999999</v>
      </c>
      <c r="H38" s="37">
        <f t="shared" si="4"/>
        <v>0</v>
      </c>
      <c r="I38" s="38">
        <v>69</v>
      </c>
      <c r="J38" s="44">
        <v>5000000622</v>
      </c>
      <c r="K38" s="35" t="s">
        <v>33</v>
      </c>
      <c r="L38" s="35" t="s">
        <v>34</v>
      </c>
      <c r="M38" s="35" t="s">
        <v>22</v>
      </c>
      <c r="N38" s="91"/>
      <c r="O38" s="24">
        <v>48.3</v>
      </c>
      <c r="P38" s="28">
        <f t="shared" si="5"/>
        <v>0</v>
      </c>
      <c r="U38" s="78"/>
    </row>
    <row r="39" spans="1:29" ht="15.95" customHeight="1">
      <c r="A39" s="51">
        <v>31</v>
      </c>
      <c r="B39" s="59">
        <v>5000000574</v>
      </c>
      <c r="C39" s="57" t="s">
        <v>83</v>
      </c>
      <c r="D39" s="54" t="s">
        <v>84</v>
      </c>
      <c r="E39" s="57" t="s">
        <v>9</v>
      </c>
      <c r="F39" s="92"/>
      <c r="G39" s="55">
        <v>88.4</v>
      </c>
      <c r="H39" s="55">
        <f t="shared" si="4"/>
        <v>0</v>
      </c>
      <c r="I39" s="51">
        <v>70</v>
      </c>
      <c r="J39" s="70">
        <v>5000000585</v>
      </c>
      <c r="K39" s="65" t="s">
        <v>35</v>
      </c>
      <c r="L39" s="65" t="s">
        <v>36</v>
      </c>
      <c r="M39" s="65" t="s">
        <v>12</v>
      </c>
      <c r="N39" s="92"/>
      <c r="O39" s="73">
        <v>17.25</v>
      </c>
      <c r="P39" s="68">
        <f t="shared" si="5"/>
        <v>0</v>
      </c>
      <c r="U39" s="9"/>
    </row>
    <row r="40" spans="1:29" s="77" customFormat="1" ht="15.95" customHeight="1">
      <c r="A40" s="38">
        <v>32</v>
      </c>
      <c r="B40" s="25">
        <v>5000000576</v>
      </c>
      <c r="C40" s="26" t="s">
        <v>83</v>
      </c>
      <c r="D40" s="23" t="s">
        <v>84</v>
      </c>
      <c r="E40" s="26" t="s">
        <v>12</v>
      </c>
      <c r="F40" s="91"/>
      <c r="G40" s="37">
        <v>47.6</v>
      </c>
      <c r="H40" s="37">
        <f t="shared" si="4"/>
        <v>0</v>
      </c>
      <c r="I40" s="38">
        <v>71</v>
      </c>
      <c r="J40" s="44">
        <v>5000000624</v>
      </c>
      <c r="K40" s="35" t="s">
        <v>128</v>
      </c>
      <c r="L40" s="35" t="s">
        <v>43</v>
      </c>
      <c r="M40" s="35" t="s">
        <v>9</v>
      </c>
      <c r="N40" s="91"/>
      <c r="O40" s="31">
        <v>35.75</v>
      </c>
      <c r="P40" s="28">
        <f t="shared" si="5"/>
        <v>0</v>
      </c>
      <c r="U40" s="78"/>
    </row>
    <row r="41" spans="1:29" ht="15.95" customHeight="1">
      <c r="A41" s="51">
        <v>33</v>
      </c>
      <c r="B41" s="59">
        <v>5000000580</v>
      </c>
      <c r="C41" s="57" t="s">
        <v>87</v>
      </c>
      <c r="D41" s="54" t="s">
        <v>88</v>
      </c>
      <c r="E41" s="57" t="s">
        <v>9</v>
      </c>
      <c r="F41" s="92"/>
      <c r="G41" s="55">
        <v>51</v>
      </c>
      <c r="H41" s="55">
        <f t="shared" si="4"/>
        <v>0</v>
      </c>
      <c r="I41" s="51">
        <v>72</v>
      </c>
      <c r="J41" s="74">
        <v>5000000605</v>
      </c>
      <c r="K41" s="76" t="s">
        <v>128</v>
      </c>
      <c r="L41" s="76" t="s">
        <v>43</v>
      </c>
      <c r="M41" s="76" t="s">
        <v>12</v>
      </c>
      <c r="N41" s="84"/>
      <c r="O41" s="55">
        <v>20.100000000000001</v>
      </c>
      <c r="P41" s="75">
        <f t="shared" si="5"/>
        <v>0</v>
      </c>
      <c r="U41" s="9"/>
    </row>
    <row r="42" spans="1:29" s="77" customFormat="1" ht="15.95" customHeight="1">
      <c r="A42" s="38">
        <v>34</v>
      </c>
      <c r="B42" s="25">
        <v>5000000578</v>
      </c>
      <c r="C42" s="26" t="s">
        <v>85</v>
      </c>
      <c r="D42" s="23" t="s">
        <v>86</v>
      </c>
      <c r="E42" s="26" t="s">
        <v>9</v>
      </c>
      <c r="F42" s="91"/>
      <c r="G42" s="37">
        <v>115.6</v>
      </c>
      <c r="H42" s="37">
        <f t="shared" si="4"/>
        <v>0</v>
      </c>
      <c r="I42" s="38">
        <v>73</v>
      </c>
      <c r="J42" s="44">
        <v>5000000598</v>
      </c>
      <c r="K42" s="35" t="s">
        <v>39</v>
      </c>
      <c r="L42" s="35" t="s">
        <v>40</v>
      </c>
      <c r="M42" s="35" t="s">
        <v>12</v>
      </c>
      <c r="N42" s="85"/>
      <c r="O42" s="37">
        <v>16.5</v>
      </c>
      <c r="P42" s="37">
        <f t="shared" si="5"/>
        <v>0</v>
      </c>
      <c r="U42" s="78"/>
    </row>
    <row r="43" spans="1:29" ht="15.95" customHeight="1">
      <c r="A43" s="51">
        <v>35</v>
      </c>
      <c r="B43" s="59">
        <v>5000000579</v>
      </c>
      <c r="C43" s="57" t="s">
        <v>85</v>
      </c>
      <c r="D43" s="54" t="s">
        <v>86</v>
      </c>
      <c r="E43" s="57" t="s">
        <v>12</v>
      </c>
      <c r="F43" s="92"/>
      <c r="G43" s="55">
        <v>61.2</v>
      </c>
      <c r="H43" s="55">
        <f t="shared" si="4"/>
        <v>0</v>
      </c>
      <c r="I43" s="51">
        <v>74</v>
      </c>
      <c r="J43" s="70">
        <v>5000000953</v>
      </c>
      <c r="K43" s="66" t="s">
        <v>135</v>
      </c>
      <c r="L43" s="80" t="s">
        <v>136</v>
      </c>
      <c r="M43" s="66" t="s">
        <v>9</v>
      </c>
      <c r="N43" s="84"/>
      <c r="O43" s="55">
        <v>182</v>
      </c>
      <c r="P43" s="55">
        <f t="shared" si="5"/>
        <v>0</v>
      </c>
      <c r="U43" s="9"/>
    </row>
    <row r="44" spans="1:29" s="77" customFormat="1" ht="15.95" customHeight="1">
      <c r="A44" s="38">
        <v>36</v>
      </c>
      <c r="B44" s="25">
        <v>5000000610</v>
      </c>
      <c r="C44" s="26" t="s">
        <v>27</v>
      </c>
      <c r="D44" s="49" t="s">
        <v>28</v>
      </c>
      <c r="E44" s="50" t="s">
        <v>9</v>
      </c>
      <c r="F44" s="91"/>
      <c r="G44" s="37">
        <v>16.5</v>
      </c>
      <c r="H44" s="37">
        <f t="shared" si="4"/>
        <v>0</v>
      </c>
      <c r="I44" s="38">
        <v>75</v>
      </c>
      <c r="J44" s="44">
        <v>5000000612</v>
      </c>
      <c r="K44" s="35" t="s">
        <v>46</v>
      </c>
      <c r="L44" s="35" t="s">
        <v>47</v>
      </c>
      <c r="M44" s="35" t="s">
        <v>17</v>
      </c>
      <c r="N44" s="85"/>
      <c r="O44" s="37">
        <v>47.6</v>
      </c>
      <c r="P44" s="37">
        <f>N44*O44</f>
        <v>0</v>
      </c>
    </row>
    <row r="45" spans="1:29" ht="14.25" customHeight="1">
      <c r="A45" s="51">
        <v>37</v>
      </c>
      <c r="B45" s="64">
        <v>5000000649</v>
      </c>
      <c r="C45" s="65" t="s">
        <v>91</v>
      </c>
      <c r="D45" s="66" t="s">
        <v>92</v>
      </c>
      <c r="E45" s="86" t="s">
        <v>9</v>
      </c>
      <c r="F45" s="116"/>
      <c r="G45" s="67">
        <v>47.6</v>
      </c>
      <c r="H45" s="68">
        <f t="shared" si="4"/>
        <v>0</v>
      </c>
      <c r="I45" s="51">
        <v>76</v>
      </c>
      <c r="J45" s="70">
        <v>5000000614</v>
      </c>
      <c r="K45" s="66" t="s">
        <v>71</v>
      </c>
      <c r="L45" s="66" t="s">
        <v>72</v>
      </c>
      <c r="M45" s="66" t="s">
        <v>9</v>
      </c>
      <c r="N45" s="84"/>
      <c r="O45" s="55">
        <v>54.4</v>
      </c>
      <c r="P45" s="55">
        <f>N45*O45</f>
        <v>0</v>
      </c>
      <c r="Q45" s="10"/>
      <c r="R45" s="10"/>
    </row>
    <row r="46" spans="1:29" s="77" customFormat="1" ht="14.25" customHeight="1">
      <c r="A46" s="38">
        <v>38</v>
      </c>
      <c r="B46" s="34">
        <v>5000000648</v>
      </c>
      <c r="C46" s="35" t="s">
        <v>91</v>
      </c>
      <c r="D46" s="36" t="s">
        <v>92</v>
      </c>
      <c r="E46" s="87" t="s">
        <v>12</v>
      </c>
      <c r="F46" s="91"/>
      <c r="G46" s="27">
        <v>27.2</v>
      </c>
      <c r="H46" s="28">
        <f>F46*G46</f>
        <v>0</v>
      </c>
      <c r="I46" s="38">
        <v>77</v>
      </c>
      <c r="J46" s="44">
        <v>5000000623</v>
      </c>
      <c r="K46" s="35" t="s">
        <v>50</v>
      </c>
      <c r="L46" s="35" t="s">
        <v>51</v>
      </c>
      <c r="M46" s="35" t="s">
        <v>52</v>
      </c>
      <c r="N46" s="85">
        <v>6</v>
      </c>
      <c r="O46" s="37">
        <v>27.2</v>
      </c>
      <c r="P46" s="37">
        <f>N46*O46</f>
        <v>163.19999999999999</v>
      </c>
      <c r="Q46" s="79"/>
      <c r="R46" s="79"/>
    </row>
    <row r="47" spans="1:29" ht="18">
      <c r="A47" s="51">
        <v>39</v>
      </c>
      <c r="B47" s="64">
        <v>5000000609</v>
      </c>
      <c r="C47" s="65" t="s">
        <v>44</v>
      </c>
      <c r="D47" s="66" t="s">
        <v>45</v>
      </c>
      <c r="E47" s="86" t="s">
        <v>12</v>
      </c>
      <c r="F47" s="92"/>
      <c r="G47" s="67">
        <v>94.5</v>
      </c>
      <c r="H47" s="68">
        <f>F47*G47</f>
        <v>0</v>
      </c>
      <c r="I47" s="51">
        <v>78</v>
      </c>
      <c r="J47" s="64">
        <v>5000000621</v>
      </c>
      <c r="K47" s="65" t="s">
        <v>110</v>
      </c>
      <c r="L47" s="66" t="s">
        <v>111</v>
      </c>
      <c r="M47" s="65" t="s">
        <v>9</v>
      </c>
      <c r="N47" s="84"/>
      <c r="O47" s="55">
        <v>20.7</v>
      </c>
      <c r="P47" s="55">
        <f>N47*O47</f>
        <v>0</v>
      </c>
      <c r="Q47" s="9"/>
      <c r="R47" s="9"/>
    </row>
    <row r="48" spans="1:29">
      <c r="A48" s="14" t="s">
        <v>124</v>
      </c>
      <c r="B48" s="16"/>
      <c r="C48" s="16"/>
      <c r="D48" s="89"/>
      <c r="E48" s="16"/>
      <c r="F48" s="42"/>
      <c r="G48" s="90"/>
      <c r="H48" s="17"/>
      <c r="I48" s="43"/>
      <c r="J48" s="43"/>
      <c r="K48" s="43"/>
      <c r="L48" s="43"/>
      <c r="M48" s="46"/>
      <c r="N48" s="85"/>
      <c r="O48" s="15"/>
      <c r="P48" s="4">
        <f>SUM(H9:H47) + SUM(P9:P47)</f>
        <v>2464.5</v>
      </c>
      <c r="AC48" s="20"/>
    </row>
    <row r="49" spans="1:29" hidden="1">
      <c r="A49" s="12"/>
      <c r="B49" s="13"/>
      <c r="C49" s="13"/>
      <c r="D49" s="22"/>
      <c r="E49" s="41"/>
      <c r="F49" s="41"/>
      <c r="G49" s="21"/>
      <c r="H49" s="18"/>
      <c r="I49" s="11"/>
      <c r="K49" s="11"/>
      <c r="L49" s="11"/>
      <c r="M49" s="45"/>
      <c r="N49" s="84">
        <v>12</v>
      </c>
      <c r="O49" s="11"/>
      <c r="P49" s="11"/>
      <c r="AC49" s="40"/>
    </row>
    <row r="50" spans="1:29">
      <c r="A50" s="13"/>
      <c r="B50" s="13"/>
      <c r="C50" s="13"/>
      <c r="D50" s="10"/>
      <c r="E50" s="12"/>
      <c r="F50" s="12"/>
      <c r="G50" s="12"/>
      <c r="H50" s="18"/>
      <c r="I50" s="12"/>
      <c r="K50" s="11"/>
      <c r="L50" s="12"/>
      <c r="M50" s="12"/>
      <c r="N50" s="107"/>
      <c r="O50" s="107"/>
      <c r="P50" s="107"/>
    </row>
    <row r="51" spans="1:29">
      <c r="A51" s="102" t="s">
        <v>118</v>
      </c>
      <c r="B51" s="102"/>
      <c r="C51" s="102"/>
      <c r="I51" s="12"/>
      <c r="L51" s="12"/>
      <c r="M51" s="12"/>
      <c r="N51" s="102" t="s">
        <v>119</v>
      </c>
      <c r="O51" s="102"/>
      <c r="P51" s="102"/>
    </row>
    <row r="52" spans="1:29">
      <c r="J52" s="88"/>
    </row>
    <row r="53" spans="1:29">
      <c r="P53" s="19"/>
    </row>
    <row r="86" spans="5:5" hidden="1"/>
    <row r="87" spans="5:5" hidden="1">
      <c r="E87" s="47"/>
    </row>
  </sheetData>
  <mergeCells count="13">
    <mergeCell ref="A1:P5"/>
    <mergeCell ref="G6:K6"/>
    <mergeCell ref="N6:P6"/>
    <mergeCell ref="N7:P7"/>
    <mergeCell ref="N51:P51"/>
    <mergeCell ref="A7:B7"/>
    <mergeCell ref="C7:K7"/>
    <mergeCell ref="N50:P50"/>
    <mergeCell ref="A6:B6"/>
    <mergeCell ref="C6:F6"/>
    <mergeCell ref="L6:M6"/>
    <mergeCell ref="L7:M7"/>
    <mergeCell ref="A51:C51"/>
  </mergeCells>
  <pageMargins left="0.25" right="0" top="0" bottom="0" header="0" footer="0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 Sheikh</dc:creator>
  <cp:lastModifiedBy>Mohaiminul islam Nafiz</cp:lastModifiedBy>
  <cp:lastPrinted>2026-09-11T18:53:28Z</cp:lastPrinted>
  <dcterms:created xsi:type="dcterms:W3CDTF">2023-12-01T12:25:23Z</dcterms:created>
  <dcterms:modified xsi:type="dcterms:W3CDTF">2026-09-11T22:14:35Z</dcterms:modified>
</cp:coreProperties>
</file>